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ylan\Desktop\digicam_backend_v2\"/>
    </mc:Choice>
  </mc:AlternateContent>
  <xr:revisionPtr revIDLastSave="0" documentId="13_ncr:1_{A16E3910-284D-4333-B4C6-A02B3E7B6B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ory" sheetId="1" r:id="rId1"/>
    <sheet name="Sales Log" sheetId="2" r:id="rId2"/>
    <sheet name="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" i="1" l="1"/>
  <c r="N10" i="1"/>
  <c r="N11" i="1"/>
  <c r="N12" i="1"/>
  <c r="N13" i="1"/>
  <c r="N14" i="1"/>
  <c r="N15" i="1"/>
  <c r="N16" i="1"/>
  <c r="B9" i="3"/>
  <c r="B8" i="3"/>
  <c r="B7" i="3"/>
  <c r="B6" i="3"/>
  <c r="B5" i="3"/>
  <c r="B4" i="3"/>
  <c r="B3" i="3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<sst xmlns="http://schemas.openxmlformats.org/spreadsheetml/2006/main" count="149" uniqueCount="80">
  <si>
    <t>📷  DIGICAM VENTURE — INVENTORY TRACKER</t>
  </si>
  <si>
    <t>Camera ID</t>
  </si>
  <si>
    <t>Brand</t>
  </si>
  <si>
    <t>Model</t>
  </si>
  <si>
    <t>Year</t>
  </si>
  <si>
    <t>Condition</t>
  </si>
  <si>
    <t>Asking Price (S$)</t>
  </si>
  <si>
    <t>Cost Price (S$)</t>
  </si>
  <si>
    <t>Units In Stock</t>
  </si>
  <si>
    <t>Units Sold</t>
  </si>
  <si>
    <t>Reorder Level</t>
  </si>
  <si>
    <t>Status</t>
  </si>
  <si>
    <t>Listed on TG</t>
  </si>
  <si>
    <t>Listed on Web</t>
  </si>
  <si>
    <t>Last Updated</t>
  </si>
  <si>
    <t>Notes</t>
  </si>
  <si>
    <t>CAM-001</t>
  </si>
  <si>
    <t>Canon</t>
  </si>
  <si>
    <t>PowerShot G7X Mark III</t>
  </si>
  <si>
    <t>Excellent</t>
  </si>
  <si>
    <t>In Stock</t>
  </si>
  <si>
    <t>YES</t>
  </si>
  <si>
    <t>CAM-002</t>
  </si>
  <si>
    <t>Sony</t>
  </si>
  <si>
    <t>Cyber-shot DSC-RX100 VII</t>
  </si>
  <si>
    <t>Good</t>
  </si>
  <si>
    <t>Low Stock</t>
  </si>
  <si>
    <t>CAM-003</t>
  </si>
  <si>
    <t>Ricoh</t>
  </si>
  <si>
    <t>GR IIIx</t>
  </si>
  <si>
    <t>CAM-004</t>
  </si>
  <si>
    <t>Fuji</t>
  </si>
  <si>
    <t>X100V</t>
  </si>
  <si>
    <t>Like New</t>
  </si>
  <si>
    <t>CAM-005</t>
  </si>
  <si>
    <t>Nikon</t>
  </si>
  <si>
    <t>Coolpix A1000</t>
  </si>
  <si>
    <t>CAM-006</t>
  </si>
  <si>
    <t>Olympus</t>
  </si>
  <si>
    <t>TG-6</t>
  </si>
  <si>
    <t>Sold Out</t>
  </si>
  <si>
    <t>NO</t>
  </si>
  <si>
    <t>📋  SALES LOG</t>
  </si>
  <si>
    <t>Sale ID</t>
  </si>
  <si>
    <t>Date</t>
  </si>
  <si>
    <t>Sale Price (S$)</t>
  </si>
  <si>
    <t>Channel</t>
  </si>
  <si>
    <t>Buyer Contact</t>
  </si>
  <si>
    <t>Payment</t>
  </si>
  <si>
    <t>SALE-001</t>
  </si>
  <si>
    <t>2025-01-15</t>
  </si>
  <si>
    <t>Telegram</t>
  </si>
  <si>
    <t>@buyer123</t>
  </si>
  <si>
    <t>PayNow</t>
  </si>
  <si>
    <t>📊  DASHBOARD</t>
  </si>
  <si>
    <t>Total Models Listed</t>
  </si>
  <si>
    <t>Total Units In Stock</t>
  </si>
  <si>
    <t>Total Units Sold</t>
  </si>
  <si>
    <t>Models: In Stock</t>
  </si>
  <si>
    <t>Models: Low Stock</t>
  </si>
  <si>
    <t>Models: Sold Out</t>
  </si>
  <si>
    <t>Total Revenue (S$)</t>
  </si>
  <si>
    <t>⚠️  Cameras to Reorder</t>
  </si>
  <si>
    <t>↑ Rows with Low Stock or Sold Out status from Inventory sheet appear here (filter manually or via automation)</t>
  </si>
  <si>
    <t>CAM-007</t>
  </si>
  <si>
    <t>TG-7</t>
  </si>
  <si>
    <t>CAM-008</t>
  </si>
  <si>
    <t>TG-8</t>
  </si>
  <si>
    <t>CAM-009</t>
  </si>
  <si>
    <t>TG-9</t>
  </si>
  <si>
    <t>CAM-010</t>
  </si>
  <si>
    <t>TG-10</t>
  </si>
  <si>
    <t>CAM-011</t>
  </si>
  <si>
    <t>TG-11</t>
  </si>
  <si>
    <t>CAM-012</t>
  </si>
  <si>
    <t>TG-12</t>
  </si>
  <si>
    <t>CAM-013</t>
  </si>
  <si>
    <t>TG-13</t>
  </si>
  <si>
    <t>CAM-014</t>
  </si>
  <si>
    <t>TG-14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</si>
</sst>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S$&quot;#,##0.00"/>
    <numFmt numFmtId="165" formatCode="dd\ mmm\ yyyy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1A7A45"/>
      <name val="Arial"/>
    </font>
    <font>
      <b/>
      <sz val="10"/>
      <color rgb="FF7A6000"/>
      <name val="Arial"/>
    </font>
    <font>
      <b/>
      <sz val="10"/>
      <color rgb="FFA00000"/>
      <name val="Arial"/>
    </font>
    <font>
      <b/>
      <sz val="11"/>
      <color rgb="FF000000"/>
      <name val="Arial"/>
    </font>
    <font>
      <b/>
      <sz val="11"/>
      <color rgb="FF0F3460"/>
      <name val="Arial"/>
    </font>
    <font>
      <b/>
      <sz val="12"/>
      <color rgb="FF7A6000"/>
      <name val="Arial"/>
    </font>
    <font>
      <i/>
      <sz val="9"/>
      <color rgb="FF888888"/>
      <name val="Arial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F0F4FF"/>
      </patternFill>
    </fill>
    <fill>
      <patternFill patternType="solid">
        <fgColor rgb="FFD6F5E3"/>
      </patternFill>
    </fill>
    <fill>
      <patternFill patternType="solid">
        <fgColor rgb="FFFFFFFF"/>
      </patternFill>
    </fill>
    <fill>
      <patternFill patternType="solid">
        <fgColor rgb="FFFFF9C4"/>
      </patternFill>
    </fill>
    <fill>
      <patternFill patternType="solid">
        <fgColor rgb="FFFFE0E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165" fontId="3" fillId="6" borderId="1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0" fillId="0" borderId="0" xfId="0" applyFont="1"/>
    <xf numFmtId="0" fontId="9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2">
    <dxf>
      <fill>
        <patternFill patternType="solid">
          <fgColor rgb="FFFFF9C4"/>
        </patternFill>
      </fill>
    </dxf>
    <dxf>
      <fill>
        <patternFill patternType="solid">
          <fgColor rgb="FFFFE0E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workbookViewId="0">
      <pane ySplit="2" topLeftCell="A3" activePane="bottomLeft" state="frozen"/>
      <selection pane="bottomLeft" activeCell="H13" sqref="H13:H14"/>
    </sheetView>
  </sheetViews>
  <sheetFormatPr defaultRowHeight="15" x14ac:dyDescent="0.25"/>
  <cols>
    <col min="1" max="2" width="14" customWidth="1"/>
    <col min="3" max="3" width="22" customWidth="1"/>
    <col min="4" max="4" width="8" customWidth="1"/>
    <col min="5" max="5" width="12" customWidth="1"/>
    <col min="6" max="7" width="16" customWidth="1"/>
    <col min="8" max="8" width="14" customWidth="1"/>
    <col min="9" max="9" width="12" customWidth="1"/>
    <col min="10" max="10" width="13" customWidth="1"/>
    <col min="11" max="11" width="14" customWidth="1"/>
    <col min="12" max="13" width="13" customWidth="1"/>
    <col min="14" max="14" width="14" customWidth="1"/>
    <col min="15" max="15" width="28" customWidth="1"/>
  </cols>
  <sheetData>
    <row r="1" spans="1:15" ht="36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ht="36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21.95" customHeight="1" x14ac:dyDescent="0.25">
      <c r="A3" s="2" t="s">
        <v>16</v>
      </c>
      <c r="B3" s="2" t="s">
        <v>17</v>
      </c>
      <c r="C3" s="3" t="s">
        <v>18</v>
      </c>
      <c r="D3" s="2">
        <v>2019</v>
      </c>
      <c r="E3" s="2" t="s">
        <v>19</v>
      </c>
      <c r="F3" s="4">
        <v>420</v>
      </c>
      <c r="G3" s="4">
        <v>280</v>
      </c>
      <c r="H3" s="2">
        <v>2</v>
      </c>
      <c r="I3" s="2">
        <v>0</v>
      </c>
      <c r="J3" s="2">
        <v>1</v>
      </c>
      <c r="K3" s="5" t="s">
        <v>20</v>
      </c>
      <c r="L3" s="5" t="s">
        <v>21</v>
      </c>
      <c r="M3" s="5" t="s">
        <v>21</v>
      </c>
      <c r="N3" s="6">
        <f t="shared" ref="N3:N16" ca="1" si="0">TODAY()</f>
        <v>46134</v>
      </c>
      <c r="O3" s="3"/>
    </row>
    <row r="4" spans="1:15" ht="21.95" customHeight="1" x14ac:dyDescent="0.25">
      <c r="A4" s="7" t="s">
        <v>22</v>
      </c>
      <c r="B4" s="7" t="s">
        <v>23</v>
      </c>
      <c r="C4" s="8" t="s">
        <v>24</v>
      </c>
      <c r="D4" s="7">
        <v>2019</v>
      </c>
      <c r="E4" s="7" t="s">
        <v>25</v>
      </c>
      <c r="F4" s="9">
        <v>550</v>
      </c>
      <c r="G4" s="9">
        <v>380</v>
      </c>
      <c r="H4" s="7">
        <v>1</v>
      </c>
      <c r="I4" s="7">
        <v>0</v>
      </c>
      <c r="J4" s="7">
        <v>1</v>
      </c>
      <c r="K4" s="10" t="s">
        <v>26</v>
      </c>
      <c r="L4" s="5" t="s">
        <v>21</v>
      </c>
      <c r="M4" s="5" t="s">
        <v>21</v>
      </c>
      <c r="N4" s="11">
        <f t="shared" ca="1" si="0"/>
        <v>46134</v>
      </c>
      <c r="O4" s="8"/>
    </row>
    <row r="5" spans="1:15" ht="21.95" customHeight="1" x14ac:dyDescent="0.25">
      <c r="A5" s="2" t="s">
        <v>27</v>
      </c>
      <c r="B5" s="2" t="s">
        <v>28</v>
      </c>
      <c r="C5" s="3" t="s">
        <v>29</v>
      </c>
      <c r="D5" s="2">
        <v>2021</v>
      </c>
      <c r="E5" s="2" t="s">
        <v>19</v>
      </c>
      <c r="F5" s="4">
        <v>780</v>
      </c>
      <c r="G5" s="4">
        <v>560</v>
      </c>
      <c r="H5" s="2">
        <v>3</v>
      </c>
      <c r="I5" s="2">
        <v>1</v>
      </c>
      <c r="J5" s="2">
        <v>2</v>
      </c>
      <c r="K5" s="5" t="s">
        <v>20</v>
      </c>
      <c r="L5" s="5" t="s">
        <v>21</v>
      </c>
      <c r="M5" s="5" t="s">
        <v>21</v>
      </c>
      <c r="N5" s="6">
        <f t="shared" ca="1" si="0"/>
        <v>46134</v>
      </c>
      <c r="O5" s="3"/>
    </row>
    <row r="6" spans="1:15" ht="21.95" customHeight="1" x14ac:dyDescent="0.25">
      <c r="A6" s="7" t="s">
        <v>30</v>
      </c>
      <c r="B6" s="7" t="s">
        <v>31</v>
      </c>
      <c r="C6" s="8" t="s">
        <v>32</v>
      </c>
      <c r="D6" s="7">
        <v>2020</v>
      </c>
      <c r="E6" s="7" t="s">
        <v>33</v>
      </c>
      <c r="F6" s="9">
        <v>1050</v>
      </c>
      <c r="G6" s="9">
        <v>800</v>
      </c>
      <c r="H6" s="7">
        <v>1</v>
      </c>
      <c r="I6" s="7">
        <v>0</v>
      </c>
      <c r="J6" s="7">
        <v>1</v>
      </c>
      <c r="K6" s="10" t="s">
        <v>26</v>
      </c>
      <c r="L6" s="5" t="s">
        <v>21</v>
      </c>
      <c r="M6" s="5" t="s">
        <v>21</v>
      </c>
      <c r="N6" s="11">
        <f t="shared" ca="1" si="0"/>
        <v>46134</v>
      </c>
      <c r="O6" s="8"/>
    </row>
    <row r="7" spans="1:15" ht="21.95" customHeight="1" x14ac:dyDescent="0.25">
      <c r="A7" s="2" t="s">
        <v>34</v>
      </c>
      <c r="B7" s="2" t="s">
        <v>35</v>
      </c>
      <c r="C7" s="3" t="s">
        <v>36</v>
      </c>
      <c r="D7" s="2">
        <v>2019</v>
      </c>
      <c r="E7" s="2" t="s">
        <v>25</v>
      </c>
      <c r="F7" s="4">
        <v>180</v>
      </c>
      <c r="G7" s="4">
        <v>100</v>
      </c>
      <c r="H7" s="2">
        <v>4</v>
      </c>
      <c r="I7" s="2">
        <v>2</v>
      </c>
      <c r="J7" s="2">
        <v>2</v>
      </c>
      <c r="K7" s="5" t="s">
        <v>20</v>
      </c>
      <c r="L7" s="5" t="s">
        <v>21</v>
      </c>
      <c r="M7" s="5" t="s">
        <v>21</v>
      </c>
      <c r="N7" s="6">
        <f t="shared" ca="1" si="0"/>
        <v>46134</v>
      </c>
      <c r="O7" s="3"/>
    </row>
    <row r="8" spans="1:15" ht="21.95" customHeight="1" x14ac:dyDescent="0.25">
      <c r="A8" s="7" t="s">
        <v>37</v>
      </c>
      <c r="B8" s="7" t="s">
        <v>38</v>
      </c>
      <c r="C8" s="8" t="s">
        <v>39</v>
      </c>
      <c r="D8" s="7">
        <v>2019</v>
      </c>
      <c r="E8" s="7" t="s">
        <v>19</v>
      </c>
      <c r="F8" s="9">
        <v>280</v>
      </c>
      <c r="G8" s="9">
        <v>170</v>
      </c>
      <c r="H8" s="7">
        <v>0</v>
      </c>
      <c r="I8" s="7">
        <v>3</v>
      </c>
      <c r="J8" s="7">
        <v>1</v>
      </c>
      <c r="K8" s="12" t="s">
        <v>40</v>
      </c>
      <c r="L8" s="12" t="s">
        <v>41</v>
      </c>
      <c r="M8" s="12" t="s">
        <v>41</v>
      </c>
      <c r="N8" s="11">
        <f t="shared" ca="1" si="0"/>
        <v>46134</v>
      </c>
      <c r="O8" s="8"/>
    </row>
    <row r="9" spans="1:15" x14ac:dyDescent="0.25">
      <c r="A9" s="7" t="s">
        <v>64</v>
      </c>
      <c r="B9" s="7" t="s">
        <v>38</v>
      </c>
      <c r="C9" s="8" t="s">
        <v>65</v>
      </c>
      <c r="D9" s="7">
        <v>2020</v>
      </c>
      <c r="E9" s="7" t="s">
        <v>19</v>
      </c>
      <c r="F9" s="9">
        <v>280</v>
      </c>
      <c r="G9" s="9">
        <v>170</v>
      </c>
      <c r="H9" s="7">
        <v>0</v>
      </c>
      <c r="I9" s="7">
        <v>3</v>
      </c>
      <c r="J9" s="7">
        <v>1</v>
      </c>
      <c r="K9" s="12" t="s">
        <v>40</v>
      </c>
      <c r="L9" s="12" t="s">
        <v>41</v>
      </c>
      <c r="M9" s="12" t="s">
        <v>41</v>
      </c>
      <c r="N9" s="11">
        <f t="shared" ca="1" si="0"/>
        <v>46134</v>
      </c>
      <c r="O9" s="8"/>
    </row>
    <row r="10" spans="1:15" x14ac:dyDescent="0.25">
      <c r="A10" s="7" t="s">
        <v>66</v>
      </c>
      <c r="B10" s="7" t="s">
        <v>38</v>
      </c>
      <c r="C10" s="8" t="s">
        <v>67</v>
      </c>
      <c r="D10" s="7">
        <v>2021</v>
      </c>
      <c r="E10" s="7" t="s">
        <v>19</v>
      </c>
      <c r="F10" s="9">
        <v>280</v>
      </c>
      <c r="G10" s="9">
        <v>170</v>
      </c>
      <c r="H10" s="7">
        <v>0</v>
      </c>
      <c r="I10" s="7">
        <v>3</v>
      </c>
      <c r="J10" s="7">
        <v>1</v>
      </c>
      <c r="K10" s="12" t="s">
        <v>40</v>
      </c>
      <c r="L10" s="12" t="s">
        <v>41</v>
      </c>
      <c r="M10" s="12" t="s">
        <v>41</v>
      </c>
      <c r="N10" s="11">
        <f t="shared" ca="1" si="0"/>
        <v>46134</v>
      </c>
      <c r="O10" s="8"/>
    </row>
    <row r="11" spans="1:15" x14ac:dyDescent="0.25">
      <c r="A11" s="7" t="s">
        <v>68</v>
      </c>
      <c r="B11" s="7" t="s">
        <v>38</v>
      </c>
      <c r="C11" s="8" t="s">
        <v>69</v>
      </c>
      <c r="D11" s="7">
        <v>2022</v>
      </c>
      <c r="E11" s="7" t="s">
        <v>19</v>
      </c>
      <c r="F11" s="9">
        <v>280</v>
      </c>
      <c r="G11" s="9">
        <v>170</v>
      </c>
      <c r="H11" s="7">
        <v>0</v>
      </c>
      <c r="I11" s="7">
        <v>3</v>
      </c>
      <c r="J11" s="7">
        <v>1</v>
      </c>
      <c r="K11" s="12" t="s">
        <v>40</v>
      </c>
      <c r="L11" s="12" t="s">
        <v>41</v>
      </c>
      <c r="M11" s="12" t="s">
        <v>41</v>
      </c>
      <c r="N11" s="11">
        <f t="shared" ca="1" si="0"/>
        <v>46134</v>
      </c>
      <c r="O11" s="8"/>
    </row>
    <row r="12" spans="1:15" x14ac:dyDescent="0.25">
      <c r="A12" s="7" t="s">
        <v>70</v>
      </c>
      <c r="B12" s="7" t="s">
        <v>38</v>
      </c>
      <c r="C12" s="8" t="s">
        <v>71</v>
      </c>
      <c r="D12" s="7">
        <v>2023</v>
      </c>
      <c r="E12" s="7" t="s">
        <v>19</v>
      </c>
      <c r="F12" s="9">
        <v>280</v>
      </c>
      <c r="G12" s="9">
        <v>170</v>
      </c>
      <c r="H12" s="7">
        <v>0</v>
      </c>
      <c r="I12" s="7">
        <v>3</v>
      </c>
      <c r="J12" s="7">
        <v>1</v>
      </c>
      <c r="K12" s="12" t="s">
        <v>40</v>
      </c>
      <c r="L12" s="12" t="s">
        <v>41</v>
      </c>
      <c r="M12" s="12" t="s">
        <v>41</v>
      </c>
      <c r="N12" s="11">
        <f t="shared" ca="1" si="0"/>
        <v>46134</v>
      </c>
      <c r="O12" s="8"/>
    </row>
    <row r="13" spans="1:15" x14ac:dyDescent="0.25">
      <c r="A13" s="7" t="s">
        <v>72</v>
      </c>
      <c r="B13" s="7" t="s">
        <v>38</v>
      </c>
      <c r="C13" s="8" t="s">
        <v>73</v>
      </c>
      <c r="D13" s="7">
        <v>2024</v>
      </c>
      <c r="E13" s="7" t="s">
        <v>19</v>
      </c>
      <c r="F13" s="9">
        <v>280</v>
      </c>
      <c r="G13" s="9">
        <v>170</v>
      </c>
      <c r="H13" s="7">
        <v>0</v>
      </c>
      <c r="I13" s="7">
        <v>3</v>
      </c>
      <c r="J13" s="7">
        <v>1</v>
      </c>
      <c r="K13" s="12" t="s">
        <v>40</v>
      </c>
      <c r="L13" s="12" t="s">
        <v>41</v>
      </c>
      <c r="M13" s="12" t="s">
        <v>41</v>
      </c>
      <c r="N13" s="11">
        <f t="shared" ca="1" si="0"/>
        <v>46134</v>
      </c>
      <c r="O13" s="8"/>
    </row>
    <row r="14" spans="1:15" x14ac:dyDescent="0.25">
      <c r="A14" s="7" t="s">
        <v>74</v>
      </c>
      <c r="B14" s="7" t="s">
        <v>38</v>
      </c>
      <c r="C14" s="8" t="s">
        <v>75</v>
      </c>
      <c r="D14" s="7">
        <v>2025</v>
      </c>
      <c r="E14" s="7" t="s">
        <v>19</v>
      </c>
      <c r="F14" s="9">
        <v>280</v>
      </c>
      <c r="G14" s="9">
        <v>170</v>
      </c>
      <c r="H14" s="7">
        <v>0</v>
      </c>
      <c r="I14" s="7">
        <v>3</v>
      </c>
      <c r="J14" s="7">
        <v>1</v>
      </c>
      <c r="K14" s="12" t="s">
        <v>40</v>
      </c>
      <c r="L14" s="12" t="s">
        <v>41</v>
      </c>
      <c r="M14" s="12" t="s">
        <v>41</v>
      </c>
      <c r="N14" s="11">
        <f t="shared" ca="1" si="0"/>
        <v>46134</v>
      </c>
      <c r="O14" s="8"/>
    </row>
    <row r="15" spans="1:15" x14ac:dyDescent="0.25">
      <c r="A15" s="7" t="s">
        <v>76</v>
      </c>
      <c r="B15" s="7" t="s">
        <v>38</v>
      </c>
      <c r="C15" s="8" t="s">
        <v>77</v>
      </c>
      <c r="D15" s="7">
        <v>2026</v>
      </c>
      <c r="E15" s="7" t="s">
        <v>19</v>
      </c>
      <c r="F15" s="9">
        <v>280</v>
      </c>
      <c r="G15" s="9">
        <v>170</v>
      </c>
      <c r="H15" s="7">
        <v>0</v>
      </c>
      <c r="I15" s="7">
        <v>3</v>
      </c>
      <c r="J15" s="7">
        <v>1</v>
      </c>
      <c r="K15" s="12" t="s">
        <v>40</v>
      </c>
      <c r="L15" s="12" t="s">
        <v>41</v>
      </c>
      <c r="M15" s="12" t="s">
        <v>41</v>
      </c>
      <c r="N15" s="11">
        <f t="shared" ca="1" si="0"/>
        <v>46134</v>
      </c>
      <c r="O15" s="8"/>
    </row>
    <row r="16" spans="1:15" x14ac:dyDescent="0.25">
      <c r="A16" s="7" t="s">
        <v>78</v>
      </c>
      <c r="B16" s="7" t="s">
        <v>38</v>
      </c>
      <c r="C16" s="8" t="s">
        <v>79</v>
      </c>
      <c r="D16" s="7">
        <v>2027</v>
      </c>
      <c r="E16" s="7" t="s">
        <v>19</v>
      </c>
      <c r="F16" s="9">
        <v>280</v>
      </c>
      <c r="G16" s="9">
        <v>170</v>
      </c>
      <c r="H16" s="7">
        <v>0</v>
      </c>
      <c r="I16" s="7">
        <v>3</v>
      </c>
      <c r="J16" s="7">
        <v>1</v>
      </c>
      <c r="K16" s="12" t="s">
        <v>40</v>
      </c>
      <c r="L16" s="12" t="s">
        <v>41</v>
      </c>
      <c r="M16" s="12" t="s">
        <v>41</v>
      </c>
      <c r="N16" s="11">
        <f t="shared" ca="1" si="0"/>
        <v>46134</v>
      </c>
      <c r="O16" s="8"/>
    </row>
  </sheetData>
  <mergeCells count="1">
    <mergeCell ref="A1:O1"/>
  </mergeCells>
  <phoneticPr fontId="11" type="noConversion"/>
  <conditionalFormatting sqref="A3:O50">
    <cfRule type="expression" dxfId="1" priority="1">
      <formula>$H3=0</formula>
    </cfRule>
    <cfRule type="expression" dxfId="0" priority="2">
      <formula>AND($H3&gt;0,$H3&lt;=$J3)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2" customWidth="1"/>
    <col min="2" max="4" width="14" customWidth="1"/>
    <col min="5" max="5" width="22" customWidth="1"/>
    <col min="6" max="6" width="16" customWidth="1"/>
    <col min="7" max="7" width="14" customWidth="1"/>
    <col min="8" max="8" width="20" customWidth="1"/>
    <col min="9" max="9" width="14" customWidth="1"/>
    <col min="10" max="10" width="28" customWidth="1"/>
  </cols>
  <sheetData>
    <row r="1" spans="1:10" ht="36" customHeight="1" x14ac:dyDescent="0.25">
      <c r="A1" s="16" t="s">
        <v>42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36" customHeight="1" x14ac:dyDescent="0.25">
      <c r="A2" s="1" t="s">
        <v>43</v>
      </c>
      <c r="B2" s="1" t="s">
        <v>44</v>
      </c>
      <c r="C2" s="1" t="s">
        <v>1</v>
      </c>
      <c r="D2" s="1" t="s">
        <v>2</v>
      </c>
      <c r="E2" s="1" t="s">
        <v>3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15</v>
      </c>
    </row>
    <row r="3" spans="1:10" ht="21.95" customHeight="1" x14ac:dyDescent="0.25">
      <c r="A3" s="2" t="s">
        <v>49</v>
      </c>
      <c r="B3" s="2" t="s">
        <v>50</v>
      </c>
      <c r="C3" s="2" t="s">
        <v>27</v>
      </c>
      <c r="D3" s="2" t="s">
        <v>28</v>
      </c>
      <c r="E3" s="3" t="s">
        <v>29</v>
      </c>
      <c r="F3" s="4">
        <v>780</v>
      </c>
      <c r="G3" s="2" t="s">
        <v>51</v>
      </c>
      <c r="H3" s="2" t="s">
        <v>52</v>
      </c>
      <c r="I3" s="2" t="s">
        <v>53</v>
      </c>
      <c r="J3" s="2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workbookViewId="0"/>
  </sheetViews>
  <sheetFormatPr defaultRowHeight="15" x14ac:dyDescent="0.25"/>
  <cols>
    <col min="1" max="1" width="26" customWidth="1"/>
    <col min="2" max="2" width="18" customWidth="1"/>
  </cols>
  <sheetData>
    <row r="1" spans="1:6" ht="36" customHeight="1" x14ac:dyDescent="0.25">
      <c r="A1" s="16" t="s">
        <v>54</v>
      </c>
      <c r="B1" s="17"/>
      <c r="C1" s="17"/>
      <c r="D1" s="17"/>
      <c r="E1" s="17"/>
      <c r="F1" s="17"/>
    </row>
    <row r="3" spans="1:6" x14ac:dyDescent="0.25">
      <c r="A3" s="13" t="s">
        <v>55</v>
      </c>
      <c r="B3" s="14">
        <f>COUNTA(Inventory!C3:C50)-COUNTIF(Inventory!C3:C50,"")</f>
        <v>-20</v>
      </c>
    </row>
    <row r="4" spans="1:6" x14ac:dyDescent="0.25">
      <c r="A4" s="13" t="s">
        <v>56</v>
      </c>
      <c r="B4" s="14">
        <f>SUM(Inventory!H3:H50)</f>
        <v>11</v>
      </c>
    </row>
    <row r="5" spans="1:6" x14ac:dyDescent="0.25">
      <c r="A5" s="13" t="s">
        <v>57</v>
      </c>
      <c r="B5" s="14">
        <f>SUM(Inventory!I3:I50)</f>
        <v>30</v>
      </c>
    </row>
    <row r="6" spans="1:6" x14ac:dyDescent="0.25">
      <c r="A6" s="13" t="s">
        <v>58</v>
      </c>
      <c r="B6" s="14">
        <f>COUNTIF(Inventory!K3:K50,"In Stock")</f>
        <v>3</v>
      </c>
    </row>
    <row r="7" spans="1:6" x14ac:dyDescent="0.25">
      <c r="A7" s="13" t="s">
        <v>59</v>
      </c>
      <c r="B7" s="14">
        <f>COUNTIF(Inventory!K3:K50,"Low Stock")</f>
        <v>2</v>
      </c>
    </row>
    <row r="8" spans="1:6" x14ac:dyDescent="0.25">
      <c r="A8" s="13" t="s">
        <v>60</v>
      </c>
      <c r="B8" s="14">
        <f>COUNTIF(Inventory!K3:K50,"Sold Out")</f>
        <v>9</v>
      </c>
    </row>
    <row r="9" spans="1:6" x14ac:dyDescent="0.25">
      <c r="A9" s="13" t="s">
        <v>61</v>
      </c>
      <c r="B9" s="15">
        <f>SUMPRODUCT((Inventory!I3:I50)*(Inventory!F3:F50))</f>
        <v>8700</v>
      </c>
    </row>
    <row r="11" spans="1:6" ht="27.95" customHeight="1" x14ac:dyDescent="0.25">
      <c r="A11" s="19" t="s">
        <v>62</v>
      </c>
      <c r="B11" s="17"/>
      <c r="C11" s="17"/>
      <c r="D11" s="17"/>
      <c r="E11" s="17"/>
      <c r="F11" s="17"/>
    </row>
    <row r="12" spans="1:6" ht="25.5" x14ac:dyDescent="0.25">
      <c r="A12" s="1" t="s">
        <v>1</v>
      </c>
      <c r="B12" s="1" t="s">
        <v>2</v>
      </c>
      <c r="C12" s="1" t="s">
        <v>3</v>
      </c>
      <c r="D12" s="1" t="s">
        <v>20</v>
      </c>
      <c r="E12" s="1" t="s">
        <v>10</v>
      </c>
      <c r="F12" s="1" t="s">
        <v>11</v>
      </c>
    </row>
    <row r="14" spans="1:6" x14ac:dyDescent="0.25">
      <c r="A14" s="18" t="s">
        <v>63</v>
      </c>
      <c r="B14" s="17"/>
      <c r="C14" s="17"/>
      <c r="D14" s="17"/>
      <c r="E14" s="17"/>
      <c r="F14" s="17"/>
    </row>
  </sheetData>
  <mergeCells count="3">
    <mergeCell ref="A14:F14"/>
    <mergeCell ref="A11:F1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</vt:lpstr>
      <vt:lpstr>Sales Log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loh</cp:lastModifiedBy>
  <dcterms:created xsi:type="dcterms:W3CDTF">2026-04-20T04:45:34Z</dcterms:created>
  <dcterms:modified xsi:type="dcterms:W3CDTF">2026-04-22T04:48:43Z</dcterms:modified>
</cp:coreProperties>
</file>